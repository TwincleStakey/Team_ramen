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nityProject\Team_ramen\Assets\Data\"/>
    </mc:Choice>
  </mc:AlternateContent>
  <xr:revisionPtr revIDLastSave="0" documentId="13_ncr:1_{7BB0E17B-52B3-4F65-BFD9-C3DBDB17E3DE}" xr6:coauthVersionLast="47" xr6:coauthVersionMax="47" xr10:uidLastSave="{00000000-0000-0000-0000-000000000000}"/>
  <bookViews>
    <workbookView xWindow="2730" yWindow="2730" windowWidth="21600" windowHeight="11295" xr2:uid="{00000000-000D-0000-FFFF-FFFF00000000}"/>
  </bookViews>
  <sheets>
    <sheet name="README" sheetId="1" r:id="rId1"/>
    <sheet name="Persona" sheetId="2" r:id="rId2"/>
    <sheet name="Template" sheetId="3" r:id="rId3"/>
    <sheet name="Keyword" sheetId="4" r:id="rId4"/>
    <sheet name="Preview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5" l="1"/>
  <c r="B18" i="5"/>
  <c r="B13" i="5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B17" i="5" s="1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16" i="5" s="1"/>
  <c r="B14" i="5" l="1"/>
  <c r="B15" i="5"/>
  <c r="B24" i="5" s="1"/>
  <c r="B23" i="5" l="1"/>
  <c r="B25" i="5" s="1"/>
</calcChain>
</file>

<file path=xl/sharedStrings.xml><?xml version="1.0" encoding="utf-8"?>
<sst xmlns="http://schemas.openxmlformats.org/spreadsheetml/2006/main" count="324" uniqueCount="201">
  <si>
    <t>손님 대사 자동생성 데이터베이스 (테스트용)</t>
  </si>
  <si>
    <t>구조: 문장 = 뼈대(Template) + 키워드(Keyword) + 말투(Persona). 뼈대의 {슬롯}을 말투/키워드 값으로 치환해서 문장을 만든다.</t>
  </si>
  <si>
    <t>말투는 손님마다 랜덤으로 1개 고른다. 한 손님의 대사는 전부 같은 말투를 쓴다.</t>
  </si>
  <si>
    <t>시트 설명</t>
  </si>
  <si>
    <t xml:space="preserve">  Persona  : 말투 프로필. 한 행 = 말투 하나. 수량어 3단계와 동사 슬롯별 종결어미를 적는다.</t>
  </si>
  <si>
    <t xml:space="preserve">  Template : 문장 뼈대. 재료 × 수량마다 여러 행 가능. 말투에 상관없는 부분만 쓰고 나머지는 {슬롯}으로 남긴다.</t>
  </si>
  <si>
    <t xml:space="preserve">  Keyword  : 재료/라멘 이름 동의어. 한 행 = 이름 하나. 같은 enum에 여러 행을 두면 랜덤 치환 대상이 된다.</t>
  </si>
  <si>
    <t xml:space="preserve">  Preview  : 노란 셀을 골라 조합 결과를 확인하는 테스트 시트. 수식은 건드리지 않는다.</t>
  </si>
  <si>
    <t>슬롯 목록 (뼈대에 쓰는 토큰)</t>
  </si>
  <si>
    <t xml:space="preserve">  {ing}    재료 이름            &lt;- Keyword 시트</t>
  </si>
  <si>
    <t xml:space="preserve">  {ramen}  라멘 이름            &lt;- Keyword 시트</t>
  </si>
  <si>
    <t xml:space="preserve">  {amt}    수량어 (1~3단계)     &lt;- Persona 시트 amt1/amt2/amt3</t>
  </si>
  <si>
    <t xml:space="preserve">  {give}   '넣어주세요' 자리    &lt;- Persona 시트 give</t>
  </si>
  <si>
    <t xml:space="preserve">  {make}   '해주세요' 자리      &lt;- Persona 시트 make</t>
  </si>
  <si>
    <t xml:space="preserve">  {want}   '싶어요' 자리        &lt;- Persona 시트 want</t>
  </si>
  <si>
    <t xml:space="preserve">  {order}  '하나 주세요' 자리   &lt;- Persona 시트 order</t>
  </si>
  <si>
    <t>작성 규칙</t>
  </si>
  <si>
    <t xml:space="preserve">  1. 뼈대에는 조사(을/를, 이/가, 은/는)를 붙이지 않는다. 김/파처럼 받침이 다른 재료가 섞이면 조사가 틀어진다.</t>
  </si>
  <si>
    <t xml:space="preserve">  2. 마침표는 뼈대에 쓴다. 종결어미 셀에는 마침표를 넣지 않는다.</t>
  </si>
  <si>
    <t xml:space="preserve">  3. Template의 idx는 같은 재료+수량 안에서 1부터 순번. key 열은 수식이므로 손대지 않는다.</t>
  </si>
  <si>
    <t xml:space="preserve">  4. 반말 말투는 넣지 않는다 (팀 결정).</t>
  </si>
  <si>
    <t xml:space="preserve">  5. amount 최대값: 파(GreenOnion)는 2, 나머지는 3. CustomerOrderGenerator.GetMaxRequestAmount 와 맞춘다.</t>
  </si>
  <si>
    <t>범례: 노란 셀 = 사용자가 고르는 입력 / 파란 글씨 = 직접 적는 데이터 / 검은 글씨 = 수식</t>
  </si>
  <si>
    <t>personaId</t>
  </si>
  <si>
    <t>이름</t>
  </si>
  <si>
    <t>amt1 (조금)</t>
  </si>
  <si>
    <t>amt2 (많이)</t>
  </si>
  <si>
    <t>amt3 (아주 많이)</t>
  </si>
  <si>
    <t>give (넣어주세요)</t>
  </si>
  <si>
    <t>make (해주세요)</t>
  </si>
  <si>
    <t>want (싶어요)</t>
  </si>
  <si>
    <t>order (하나 주세요)</t>
  </si>
  <si>
    <t>prefix (첫마디)</t>
  </si>
  <si>
    <t>특징 메모</t>
  </si>
  <si>
    <t>Polite</t>
  </si>
  <si>
    <t>예의 바른 손님</t>
  </si>
  <si>
    <t>조금</t>
  </si>
  <si>
    <t>많이</t>
  </si>
  <si>
    <t>듬뿍</t>
  </si>
  <si>
    <t>넣어주세요</t>
  </si>
  <si>
    <t>해주세요</t>
  </si>
  <si>
    <t>싶어요</t>
  </si>
  <si>
    <t>하나 주세요</t>
  </si>
  <si>
    <t>저기요,</t>
  </si>
  <si>
    <t>기본 해요체. 기존 DialogueGenerator 문장과 동일</t>
  </si>
  <si>
    <t>Formal</t>
  </si>
  <si>
    <t>격식체 손님</t>
  </si>
  <si>
    <t>넉넉히</t>
  </si>
  <si>
    <t>충분히</t>
  </si>
  <si>
    <t>넣어주시겠습니까</t>
  </si>
  <si>
    <t>해주시겠습니까</t>
  </si>
  <si>
    <t>싶습니다</t>
  </si>
  <si>
    <t>하나 부탁드립니다</t>
  </si>
  <si>
    <t>실례합니다,</t>
  </si>
  <si>
    <t>합쇼체. 비즈니스 톤</t>
  </si>
  <si>
    <t>Gyeongsang</t>
  </si>
  <si>
    <t>경상도 손님</t>
  </si>
  <si>
    <t>쪼매</t>
  </si>
  <si>
    <t>마이</t>
  </si>
  <si>
    <t>억수로</t>
  </si>
  <si>
    <t>넣어주이소</t>
  </si>
  <si>
    <t>해주이소</t>
  </si>
  <si>
    <t>싶은데예</t>
  </si>
  <si>
    <t>하나 주이소</t>
  </si>
  <si>
    <t>사장님예,</t>
  </si>
  <si>
    <t>경상도 사투리 존댓말</t>
  </si>
  <si>
    <t>Chungcheong</t>
  </si>
  <si>
    <t>충청도 손님</t>
  </si>
  <si>
    <t>쪼끔</t>
  </si>
  <si>
    <t>겁나</t>
  </si>
  <si>
    <t>넣어주셔유</t>
  </si>
  <si>
    <t>해주셔유</t>
  </si>
  <si>
    <t>싶어유</t>
  </si>
  <si>
    <t>하나 주셔유</t>
  </si>
  <si>
    <t>저기유,</t>
  </si>
  <si>
    <t>충청도 사투리. 느긋한 톤</t>
  </si>
  <si>
    <t>Otaku</t>
  </si>
  <si>
    <t>오타쿠 손님</t>
  </si>
  <si>
    <t>약간</t>
  </si>
  <si>
    <t>제법</t>
  </si>
  <si>
    <t>풀파워로</t>
  </si>
  <si>
    <t>넣어주셨으면 합니다만</t>
  </si>
  <si>
    <t>해주셨으면 합니다만</t>
  </si>
  <si>
    <t>싶은 것입니다만</t>
  </si>
  <si>
    <t>하나 부탁드립니다만</t>
  </si>
  <si>
    <t>저, 실례합니다만,</t>
  </si>
  <si>
    <t>~합니다만..? 어미. 말끝 흐림</t>
  </si>
  <si>
    <t>Military</t>
  </si>
  <si>
    <t>군인 손님</t>
  </si>
  <si>
    <t>소량</t>
  </si>
  <si>
    <t>다량</t>
  </si>
  <si>
    <t>최대치로</t>
  </si>
  <si>
    <t>넣어주십시오</t>
  </si>
  <si>
    <t>해주십시오</t>
  </si>
  <si>
    <t>안녕하십니까!</t>
  </si>
  <si>
    <t>다나까체. 짧고 단호</t>
  </si>
  <si>
    <t>Sageuk</t>
  </si>
  <si>
    <t>사극 말투 손님</t>
  </si>
  <si>
    <t>넣어주시오</t>
  </si>
  <si>
    <t>해주시오</t>
  </si>
  <si>
    <t>싶소</t>
  </si>
  <si>
    <t>하나 주시오</t>
  </si>
  <si>
    <t>여보게 주인장,</t>
  </si>
  <si>
    <t>하오체</t>
  </si>
  <si>
    <t>key (수식)</t>
  </si>
  <si>
    <t>ingredient</t>
  </si>
  <si>
    <t>amount</t>
  </si>
  <si>
    <t>idx</t>
  </si>
  <si>
    <t>template (뼈대)</t>
  </si>
  <si>
    <t>비고</t>
  </si>
  <si>
    <t>Chashu</t>
  </si>
  <si>
    <t>{ing} {amt} 더 {give}.</t>
  </si>
  <si>
    <t>기존</t>
  </si>
  <si>
    <t>{ing} 한 점만 더 {give}.</t>
  </si>
  <si>
    <t>{ing} {amt} {give}.</t>
  </si>
  <si>
    <t>{ing} 넉넉하게 {give}.</t>
  </si>
  <si>
    <t>고기 향을 {amt} 느끼고 {want}.</t>
  </si>
  <si>
    <t>{ing} 위주로 {amt} {give}.</t>
  </si>
  <si>
    <t>FlavorOil</t>
  </si>
  <si>
    <t>{ing} 살짝만 더 {give}.</t>
  </si>
  <si>
    <t>{ing} 좀 더 {give}.</t>
  </si>
  <si>
    <t>{ing} 향 조금 더 진하게 {make}.</t>
  </si>
  <si>
    <t>{ing} 향 {amt} 느끼고 {want}.</t>
  </si>
  <si>
    <t>ChiliPowder</t>
  </si>
  <si>
    <t>{amt} 맵게 {make}.</t>
  </si>
  <si>
    <t>맵게 {make}.</t>
  </si>
  <si>
    <t>칼칼하게 {make}.</t>
  </si>
  <si>
    <t>아주 맵게 먹고 {want}.</t>
  </si>
  <si>
    <t>Menma</t>
  </si>
  <si>
    <t>{ing} 있으면 하나만 {give}.</t>
  </si>
  <si>
    <t>{ing} 넉넉히 {give}.</t>
  </si>
  <si>
    <t>{ing} {amt} {amt} {give}.</t>
  </si>
  <si>
    <t>기존 (많이많이)</t>
  </si>
  <si>
    <t>{ing} 아삭한 식감 {amt} 느끼고 {want}.</t>
  </si>
  <si>
    <t>GreenOnion</t>
  </si>
  <si>
    <t>{ing} 향 진하게 {make}.</t>
  </si>
  <si>
    <t>Egg</t>
  </si>
  <si>
    <t>{ing} 하나 더 {give}.</t>
  </si>
  <si>
    <t>{ing} 두 개 {give}.</t>
  </si>
  <si>
    <t>{ing} 위주로 먹고 {want}.</t>
  </si>
  <si>
    <t>BeanSprout</t>
  </si>
  <si>
    <t>{ing} 한 줌만 더 {give}.</t>
  </si>
  <si>
    <t>{ing} 아삭하게 {amt} {give}.</t>
  </si>
  <si>
    <t>{ing} 산처럼 쌓아서 {give}.</t>
  </si>
  <si>
    <t>WoodEar</t>
  </si>
  <si>
    <t>{ing} 몇 개만 더 {give}.</t>
  </si>
  <si>
    <t>{ing} 식감 {amt} 느끼고 {want}.</t>
  </si>
  <si>
    <t>Nori</t>
  </si>
  <si>
    <t>{ing} 하나만 더 {give}.</t>
  </si>
  <si>
    <t>{ing} 한 장 더 {give}.</t>
  </si>
  <si>
    <t>바다 향기 {amt} 느끼고 {want}.</t>
  </si>
  <si>
    <t>Ramen</t>
  </si>
  <si>
    <t>{ramen} {order}.</t>
  </si>
  <si>
    <t>라멘 기본 문장</t>
  </si>
  <si>
    <t>{ramen}으로 {order}.</t>
  </si>
  <si>
    <t>enum</t>
  </si>
  <si>
    <t>keyword (이름)</t>
  </si>
  <si>
    <t>차슈</t>
  </si>
  <si>
    <t>고기</t>
  </si>
  <si>
    <t>멘마</t>
  </si>
  <si>
    <t>죽순</t>
  </si>
  <si>
    <t>파</t>
  </si>
  <si>
    <t>대파</t>
  </si>
  <si>
    <t>계란</t>
  </si>
  <si>
    <t>달걀</t>
  </si>
  <si>
    <t>김</t>
  </si>
  <si>
    <t>숙주</t>
  </si>
  <si>
    <t>숙주나물</t>
  </si>
  <si>
    <t>목이버섯</t>
  </si>
  <si>
    <t>목이</t>
  </si>
  <si>
    <t>향미유</t>
  </si>
  <si>
    <t>기름</t>
  </si>
  <si>
    <t>고춧가루</t>
  </si>
  <si>
    <t>고추가루</t>
  </si>
  <si>
    <t>Shio</t>
  </si>
  <si>
    <t>시오 라멘</t>
  </si>
  <si>
    <t>라멘</t>
  </si>
  <si>
    <t>Shoyu</t>
  </si>
  <si>
    <t>쇼유 라멘</t>
  </si>
  <si>
    <t>Tonkotsu</t>
  </si>
  <si>
    <t>돈코츠 라멘</t>
  </si>
  <si>
    <t>조합 테스트 (노란 셀만 바꾸세요)</t>
  </si>
  <si>
    <t>말투 (personaId)</t>
  </si>
  <si>
    <t>라멘 (enum)</t>
  </si>
  <si>
    <t>라멘 뼈대 idx</t>
  </si>
  <si>
    <t>재료 (enum)</t>
  </si>
  <si>
    <t>수량 (amount)</t>
  </si>
  <si>
    <t>재료 뼈대 idx</t>
  </si>
  <si>
    <t>재료 키워드 idx</t>
  </si>
  <si>
    <t>중간값 (수식)</t>
  </si>
  <si>
    <t>prefix</t>
  </si>
  <si>
    <t>라멘 뼈대</t>
  </si>
  <si>
    <t>라멘 이름</t>
  </si>
  <si>
    <t>재료 뼈대</t>
  </si>
  <si>
    <t>재료 이름</t>
  </si>
  <si>
    <t>amt</t>
  </si>
  <si>
    <t>give / make / want / order</t>
  </si>
  <si>
    <t>결과</t>
  </si>
  <si>
    <t>라멘 문장</t>
  </si>
  <si>
    <t>재료 문장</t>
  </si>
  <si>
    <t>전체 대사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</si>
</sst>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맑은 고딕"/>
      <family val="2"/>
      <scheme val="minor"/>
    </font>
    <font>
      <b/>
      <sz val="12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/>
    <xf numFmtId="0" fontId="6" fillId="3" borderId="1" xfId="0" applyFont="1" applyFill="1" applyBorder="1"/>
    <xf numFmtId="0" fontId="7" fillId="0" borderId="0" xfId="0" applyFont="1"/>
    <xf numFmtId="0" fontId="5" fillId="0" borderId="1" xfId="0" applyFont="1" applyBorder="1"/>
    <xf numFmtId="0" fontId="1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/>
  </sheetViews>
  <sheetFormatPr defaultRowHeight="16.5"/>
  <cols>
    <col min="1" max="1" width="110" customWidth="1"/>
  </cols>
  <sheetData>
    <row r="1" spans="1:1" ht="17.25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 t="s">
        <v>7</v>
      </c>
    </row>
    <row r="11" spans="1:1">
      <c r="A11" s="2"/>
    </row>
    <row r="12" spans="1:1">
      <c r="A12" s="3" t="s">
        <v>8</v>
      </c>
    </row>
    <row r="13" spans="1:1">
      <c r="A13" s="2" t="s">
        <v>9</v>
      </c>
    </row>
    <row r="14" spans="1:1">
      <c r="A14" s="2" t="s">
        <v>10</v>
      </c>
    </row>
    <row r="15" spans="1:1">
      <c r="A15" s="2" t="s">
        <v>11</v>
      </c>
    </row>
    <row r="16" spans="1:1">
      <c r="A16" s="2" t="s">
        <v>12</v>
      </c>
    </row>
    <row r="17" spans="1:1">
      <c r="A17" s="2" t="s">
        <v>13</v>
      </c>
    </row>
    <row r="18" spans="1:1">
      <c r="A18" s="2" t="s">
        <v>14</v>
      </c>
    </row>
    <row r="19" spans="1:1">
      <c r="A19" s="2" t="s">
        <v>15</v>
      </c>
    </row>
    <row r="20" spans="1:1">
      <c r="A20" s="2"/>
    </row>
    <row r="21" spans="1:1">
      <c r="A21" s="3" t="s">
        <v>16</v>
      </c>
    </row>
    <row r="22" spans="1:1">
      <c r="A22" s="2" t="s">
        <v>17</v>
      </c>
    </row>
    <row r="23" spans="1:1">
      <c r="A23" s="2" t="s">
        <v>18</v>
      </c>
    </row>
    <row r="24" spans="1:1">
      <c r="A24" s="2" t="s">
        <v>19</v>
      </c>
    </row>
    <row r="25" spans="1:1">
      <c r="A25" s="2" t="s">
        <v>20</v>
      </c>
    </row>
    <row r="26" spans="1:1">
      <c r="A26" s="2" t="s">
        <v>21</v>
      </c>
    </row>
    <row r="27" spans="1:1">
      <c r="A27" s="2"/>
    </row>
    <row r="28" spans="1:1">
      <c r="A28" s="2" t="s">
        <v>22</v>
      </c>
    </row>
  </sheetData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3" customWidth="1"/>
    <col min="2" max="2" width="16" customWidth="1"/>
    <col min="3" max="4" width="12" customWidth="1"/>
    <col min="5" max="5" width="14" customWidth="1"/>
    <col min="6" max="7" width="24" customWidth="1"/>
    <col min="8" max="8" width="18" customWidth="1"/>
    <col min="9" max="9" width="22" customWidth="1"/>
    <col min="10" max="10" width="20" customWidth="1"/>
    <col min="11" max="11" width="40" customWidth="1"/>
  </cols>
  <sheetData>
    <row r="1" spans="1:11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</row>
    <row r="2" spans="1:11" ht="33">
      <c r="A2" s="5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44</v>
      </c>
    </row>
    <row r="3" spans="1:11">
      <c r="A3" s="5" t="s">
        <v>45</v>
      </c>
      <c r="B3" s="5" t="s">
        <v>46</v>
      </c>
      <c r="C3" s="5" t="s">
        <v>36</v>
      </c>
      <c r="D3" s="5" t="s">
        <v>47</v>
      </c>
      <c r="E3" s="5" t="s">
        <v>48</v>
      </c>
      <c r="F3" s="5" t="s">
        <v>49</v>
      </c>
      <c r="G3" s="5" t="s">
        <v>50</v>
      </c>
      <c r="H3" s="5" t="s">
        <v>51</v>
      </c>
      <c r="I3" s="5" t="s">
        <v>52</v>
      </c>
      <c r="J3" s="5" t="s">
        <v>53</v>
      </c>
      <c r="K3" s="5" t="s">
        <v>54</v>
      </c>
    </row>
    <row r="4" spans="1:11">
      <c r="A4" s="5" t="s">
        <v>55</v>
      </c>
      <c r="B4" s="5" t="s">
        <v>56</v>
      </c>
      <c r="C4" s="5" t="s">
        <v>57</v>
      </c>
      <c r="D4" s="5" t="s">
        <v>58</v>
      </c>
      <c r="E4" s="5" t="s">
        <v>59</v>
      </c>
      <c r="F4" s="5" t="s">
        <v>60</v>
      </c>
      <c r="G4" s="5" t="s">
        <v>61</v>
      </c>
      <c r="H4" s="5" t="s">
        <v>62</v>
      </c>
      <c r="I4" s="5" t="s">
        <v>63</v>
      </c>
      <c r="J4" s="5" t="s">
        <v>64</v>
      </c>
      <c r="K4" s="5" t="s">
        <v>65</v>
      </c>
    </row>
    <row r="5" spans="1:11">
      <c r="A5" s="5" t="s">
        <v>66</v>
      </c>
      <c r="B5" s="5" t="s">
        <v>67</v>
      </c>
      <c r="C5" s="5" t="s">
        <v>68</v>
      </c>
      <c r="D5" s="5" t="s">
        <v>37</v>
      </c>
      <c r="E5" s="5" t="s">
        <v>69</v>
      </c>
      <c r="F5" s="5" t="s">
        <v>70</v>
      </c>
      <c r="G5" s="5" t="s">
        <v>71</v>
      </c>
      <c r="H5" s="5" t="s">
        <v>72</v>
      </c>
      <c r="I5" s="5" t="s">
        <v>73</v>
      </c>
      <c r="J5" s="5" t="s">
        <v>74</v>
      </c>
      <c r="K5" s="5" t="s">
        <v>75</v>
      </c>
    </row>
    <row r="6" spans="1:11">
      <c r="A6" s="5" t="s">
        <v>76</v>
      </c>
      <c r="B6" s="5" t="s">
        <v>77</v>
      </c>
      <c r="C6" s="5" t="s">
        <v>78</v>
      </c>
      <c r="D6" s="5" t="s">
        <v>79</v>
      </c>
      <c r="E6" s="5" t="s">
        <v>80</v>
      </c>
      <c r="F6" s="5" t="s">
        <v>81</v>
      </c>
      <c r="G6" s="5" t="s">
        <v>82</v>
      </c>
      <c r="H6" s="5" t="s">
        <v>83</v>
      </c>
      <c r="I6" s="5" t="s">
        <v>84</v>
      </c>
      <c r="J6" s="5" t="s">
        <v>85</v>
      </c>
      <c r="K6" s="5" t="s">
        <v>86</v>
      </c>
    </row>
    <row r="7" spans="1:11">
      <c r="A7" s="5" t="s">
        <v>87</v>
      </c>
      <c r="B7" s="5" t="s">
        <v>88</v>
      </c>
      <c r="C7" s="5" t="s">
        <v>89</v>
      </c>
      <c r="D7" s="5" t="s">
        <v>90</v>
      </c>
      <c r="E7" s="5" t="s">
        <v>91</v>
      </c>
      <c r="F7" s="5" t="s">
        <v>92</v>
      </c>
      <c r="G7" s="5" t="s">
        <v>93</v>
      </c>
      <c r="H7" s="5" t="s">
        <v>51</v>
      </c>
      <c r="I7" s="5" t="s">
        <v>52</v>
      </c>
      <c r="J7" s="5" t="s">
        <v>94</v>
      </c>
      <c r="K7" s="5" t="s">
        <v>95</v>
      </c>
    </row>
    <row r="8" spans="1:11">
      <c r="A8" s="5" t="s">
        <v>96</v>
      </c>
      <c r="B8" s="5" t="s">
        <v>97</v>
      </c>
      <c r="C8" s="5" t="s">
        <v>36</v>
      </c>
      <c r="D8" s="5" t="s">
        <v>47</v>
      </c>
      <c r="E8" s="5" t="s">
        <v>38</v>
      </c>
      <c r="F8" s="5" t="s">
        <v>98</v>
      </c>
      <c r="G8" s="5" t="s">
        <v>99</v>
      </c>
      <c r="H8" s="5" t="s">
        <v>100</v>
      </c>
      <c r="I8" s="5" t="s">
        <v>101</v>
      </c>
      <c r="J8" s="5" t="s">
        <v>102</v>
      </c>
      <c r="K8" s="5" t="s">
        <v>103</v>
      </c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5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20" customWidth="1"/>
    <col min="2" max="2" width="14" customWidth="1"/>
    <col min="3" max="3" width="9" customWidth="1"/>
    <col min="4" max="4" width="6" customWidth="1"/>
    <col min="5" max="5" width="44" customWidth="1"/>
    <col min="6" max="6" width="18" customWidth="1"/>
  </cols>
  <sheetData>
    <row r="1" spans="1:6">
      <c r="A1" s="4" t="s">
        <v>104</v>
      </c>
      <c r="B1" s="4" t="s">
        <v>105</v>
      </c>
      <c r="C1" s="4" t="s">
        <v>106</v>
      </c>
      <c r="D1" s="4" t="s">
        <v>107</v>
      </c>
      <c r="E1" s="4" t="s">
        <v>108</v>
      </c>
      <c r="F1" s="4" t="s">
        <v>109</v>
      </c>
    </row>
    <row r="2" spans="1:6">
      <c r="A2" s="6" t="str">
        <f t="shared" ref="A2:A33" si="0">B2&amp;"_"&amp;C2&amp;"_"&amp;D2</f>
        <v>Chashu_1_1</v>
      </c>
      <c r="B2" s="5" t="s">
        <v>110</v>
      </c>
      <c r="C2" s="5">
        <v>1</v>
      </c>
      <c r="D2" s="5">
        <v>1</v>
      </c>
      <c r="E2" s="5" t="s">
        <v>111</v>
      </c>
      <c r="F2" s="5" t="s">
        <v>112</v>
      </c>
    </row>
    <row r="3" spans="1:6">
      <c r="A3" s="6" t="str">
        <f t="shared" si="0"/>
        <v>Chashu_1_2</v>
      </c>
      <c r="B3" s="5" t="s">
        <v>110</v>
      </c>
      <c r="C3" s="5">
        <v>1</v>
      </c>
      <c r="D3" s="5">
        <v>2</v>
      </c>
      <c r="E3" s="5" t="s">
        <v>113</v>
      </c>
      <c r="F3" s="5"/>
    </row>
    <row r="4" spans="1:6">
      <c r="A4" s="6" t="str">
        <f t="shared" si="0"/>
        <v>Chashu_2_1</v>
      </c>
      <c r="B4" s="5" t="s">
        <v>110</v>
      </c>
      <c r="C4" s="5">
        <v>2</v>
      </c>
      <c r="D4" s="5">
        <v>1</v>
      </c>
      <c r="E4" s="5" t="s">
        <v>114</v>
      </c>
      <c r="F4" s="5" t="s">
        <v>112</v>
      </c>
    </row>
    <row r="5" spans="1:6">
      <c r="A5" s="6" t="str">
        <f t="shared" si="0"/>
        <v>Chashu_2_2</v>
      </c>
      <c r="B5" s="5" t="s">
        <v>110</v>
      </c>
      <c r="C5" s="5">
        <v>2</v>
      </c>
      <c r="D5" s="5">
        <v>2</v>
      </c>
      <c r="E5" s="5" t="s">
        <v>115</v>
      </c>
      <c r="F5" s="5"/>
    </row>
    <row r="6" spans="1:6">
      <c r="A6" s="6" t="str">
        <f t="shared" si="0"/>
        <v>Chashu_3_1</v>
      </c>
      <c r="B6" s="5" t="s">
        <v>110</v>
      </c>
      <c r="C6" s="5">
        <v>3</v>
      </c>
      <c r="D6" s="5">
        <v>1</v>
      </c>
      <c r="E6" s="5" t="s">
        <v>116</v>
      </c>
      <c r="F6" s="5" t="s">
        <v>112</v>
      </c>
    </row>
    <row r="7" spans="1:6">
      <c r="A7" s="6" t="str">
        <f t="shared" si="0"/>
        <v>Chashu_3_2</v>
      </c>
      <c r="B7" s="5" t="s">
        <v>110</v>
      </c>
      <c r="C7" s="5">
        <v>3</v>
      </c>
      <c r="D7" s="5">
        <v>2</v>
      </c>
      <c r="E7" s="5" t="s">
        <v>117</v>
      </c>
      <c r="F7" s="5"/>
    </row>
    <row r="8" spans="1:6">
      <c r="A8" s="6" t="str">
        <f t="shared" si="0"/>
        <v>FlavorOil_1_1</v>
      </c>
      <c r="B8" s="5" t="s">
        <v>118</v>
      </c>
      <c r="C8" s="5">
        <v>1</v>
      </c>
      <c r="D8" s="5">
        <v>1</v>
      </c>
      <c r="E8" s="5" t="s">
        <v>111</v>
      </c>
      <c r="F8" s="5" t="s">
        <v>112</v>
      </c>
    </row>
    <row r="9" spans="1:6">
      <c r="A9" s="6" t="str">
        <f t="shared" si="0"/>
        <v>FlavorOil_1_2</v>
      </c>
      <c r="B9" s="5" t="s">
        <v>118</v>
      </c>
      <c r="C9" s="5">
        <v>1</v>
      </c>
      <c r="D9" s="5">
        <v>2</v>
      </c>
      <c r="E9" s="5" t="s">
        <v>119</v>
      </c>
      <c r="F9" s="5"/>
    </row>
    <row r="10" spans="1:6">
      <c r="A10" s="6" t="str">
        <f t="shared" si="0"/>
        <v>FlavorOil_2_1</v>
      </c>
      <c r="B10" s="5" t="s">
        <v>118</v>
      </c>
      <c r="C10" s="5">
        <v>2</v>
      </c>
      <c r="D10" s="5">
        <v>1</v>
      </c>
      <c r="E10" s="5" t="s">
        <v>120</v>
      </c>
      <c r="F10" s="5" t="s">
        <v>112</v>
      </c>
    </row>
    <row r="11" spans="1:6">
      <c r="A11" s="6" t="str">
        <f t="shared" si="0"/>
        <v>FlavorOil_2_2</v>
      </c>
      <c r="B11" s="5" t="s">
        <v>118</v>
      </c>
      <c r="C11" s="5">
        <v>2</v>
      </c>
      <c r="D11" s="5">
        <v>2</v>
      </c>
      <c r="E11" s="5" t="s">
        <v>121</v>
      </c>
      <c r="F11" s="5"/>
    </row>
    <row r="12" spans="1:6">
      <c r="A12" s="6" t="str">
        <f t="shared" si="0"/>
        <v>FlavorOil_3_1</v>
      </c>
      <c r="B12" s="5" t="s">
        <v>118</v>
      </c>
      <c r="C12" s="5">
        <v>3</v>
      </c>
      <c r="D12" s="5">
        <v>1</v>
      </c>
      <c r="E12" s="5" t="s">
        <v>114</v>
      </c>
      <c r="F12" s="5" t="s">
        <v>112</v>
      </c>
    </row>
    <row r="13" spans="1:6">
      <c r="A13" s="6" t="str">
        <f t="shared" si="0"/>
        <v>FlavorOil_3_2</v>
      </c>
      <c r="B13" s="5" t="s">
        <v>118</v>
      </c>
      <c r="C13" s="5">
        <v>3</v>
      </c>
      <c r="D13" s="5">
        <v>2</v>
      </c>
      <c r="E13" s="5" t="s">
        <v>122</v>
      </c>
      <c r="F13" s="5"/>
    </row>
    <row r="14" spans="1:6">
      <c r="A14" s="6" t="str">
        <f t="shared" si="0"/>
        <v>ChiliPowder_1_1</v>
      </c>
      <c r="B14" s="5" t="s">
        <v>123</v>
      </c>
      <c r="C14" s="5">
        <v>1</v>
      </c>
      <c r="D14" s="5">
        <v>1</v>
      </c>
      <c r="E14" s="5" t="s">
        <v>124</v>
      </c>
      <c r="F14" s="5" t="s">
        <v>112</v>
      </c>
    </row>
    <row r="15" spans="1:6">
      <c r="A15" s="6" t="str">
        <f t="shared" si="0"/>
        <v>ChiliPowder_1_2</v>
      </c>
      <c r="B15" s="5" t="s">
        <v>123</v>
      </c>
      <c r="C15" s="5">
        <v>1</v>
      </c>
      <c r="D15" s="5">
        <v>2</v>
      </c>
      <c r="E15" s="5" t="s">
        <v>111</v>
      </c>
      <c r="F15" s="5"/>
    </row>
    <row r="16" spans="1:6">
      <c r="A16" s="6" t="str">
        <f t="shared" si="0"/>
        <v>ChiliPowder_2_1</v>
      </c>
      <c r="B16" s="5" t="s">
        <v>123</v>
      </c>
      <c r="C16" s="5">
        <v>2</v>
      </c>
      <c r="D16" s="5">
        <v>1</v>
      </c>
      <c r="E16" s="5" t="s">
        <v>125</v>
      </c>
      <c r="F16" s="5" t="s">
        <v>112</v>
      </c>
    </row>
    <row r="17" spans="1:6">
      <c r="A17" s="6" t="str">
        <f t="shared" si="0"/>
        <v>ChiliPowder_2_2</v>
      </c>
      <c r="B17" s="5" t="s">
        <v>123</v>
      </c>
      <c r="C17" s="5">
        <v>2</v>
      </c>
      <c r="D17" s="5">
        <v>2</v>
      </c>
      <c r="E17" s="5" t="s">
        <v>114</v>
      </c>
      <c r="F17" s="5"/>
    </row>
    <row r="18" spans="1:6">
      <c r="A18" s="6" t="str">
        <f t="shared" si="0"/>
        <v>ChiliPowder_3_1</v>
      </c>
      <c r="B18" s="5" t="s">
        <v>123</v>
      </c>
      <c r="C18" s="5">
        <v>3</v>
      </c>
      <c r="D18" s="5">
        <v>1</v>
      </c>
      <c r="E18" s="5" t="s">
        <v>126</v>
      </c>
      <c r="F18" s="5" t="s">
        <v>112</v>
      </c>
    </row>
    <row r="19" spans="1:6">
      <c r="A19" s="6" t="str">
        <f t="shared" si="0"/>
        <v>ChiliPowder_3_2</v>
      </c>
      <c r="B19" s="5" t="s">
        <v>123</v>
      </c>
      <c r="C19" s="5">
        <v>3</v>
      </c>
      <c r="D19" s="5">
        <v>2</v>
      </c>
      <c r="E19" s="5" t="s">
        <v>127</v>
      </c>
      <c r="F19" s="5"/>
    </row>
    <row r="20" spans="1:6">
      <c r="A20" s="6" t="str">
        <f t="shared" si="0"/>
        <v>Menma_1_1</v>
      </c>
      <c r="B20" s="5" t="s">
        <v>128</v>
      </c>
      <c r="C20" s="5">
        <v>1</v>
      </c>
      <c r="D20" s="5">
        <v>1</v>
      </c>
      <c r="E20" s="5" t="s">
        <v>129</v>
      </c>
      <c r="F20" s="5" t="s">
        <v>112</v>
      </c>
    </row>
    <row r="21" spans="1:6">
      <c r="A21" s="6" t="str">
        <f t="shared" si="0"/>
        <v>Menma_1_2</v>
      </c>
      <c r="B21" s="5" t="s">
        <v>128</v>
      </c>
      <c r="C21" s="5">
        <v>1</v>
      </c>
      <c r="D21" s="5">
        <v>2</v>
      </c>
      <c r="E21" s="5" t="s">
        <v>111</v>
      </c>
      <c r="F21" s="5"/>
    </row>
    <row r="22" spans="1:6">
      <c r="A22" s="6" t="str">
        <f t="shared" si="0"/>
        <v>Menma_2_1</v>
      </c>
      <c r="B22" s="5" t="s">
        <v>128</v>
      </c>
      <c r="C22" s="5">
        <v>2</v>
      </c>
      <c r="D22" s="5">
        <v>1</v>
      </c>
      <c r="E22" s="5" t="s">
        <v>114</v>
      </c>
      <c r="F22" s="5" t="s">
        <v>112</v>
      </c>
    </row>
    <row r="23" spans="1:6">
      <c r="A23" s="6" t="str">
        <f t="shared" si="0"/>
        <v>Menma_2_2</v>
      </c>
      <c r="B23" s="5" t="s">
        <v>128</v>
      </c>
      <c r="C23" s="5">
        <v>2</v>
      </c>
      <c r="D23" s="5">
        <v>2</v>
      </c>
      <c r="E23" s="5" t="s">
        <v>130</v>
      </c>
      <c r="F23" s="5"/>
    </row>
    <row r="24" spans="1:6">
      <c r="A24" s="6" t="str">
        <f t="shared" si="0"/>
        <v>Menma_3_1</v>
      </c>
      <c r="B24" s="5" t="s">
        <v>128</v>
      </c>
      <c r="C24" s="5">
        <v>3</v>
      </c>
      <c r="D24" s="5">
        <v>1</v>
      </c>
      <c r="E24" s="5" t="s">
        <v>131</v>
      </c>
      <c r="F24" s="5" t="s">
        <v>132</v>
      </c>
    </row>
    <row r="25" spans="1:6">
      <c r="A25" s="6" t="str">
        <f t="shared" si="0"/>
        <v>Menma_3_2</v>
      </c>
      <c r="B25" s="5" t="s">
        <v>128</v>
      </c>
      <c r="C25" s="5">
        <v>3</v>
      </c>
      <c r="D25" s="5">
        <v>2</v>
      </c>
      <c r="E25" s="5" t="s">
        <v>133</v>
      </c>
      <c r="F25" s="5"/>
    </row>
    <row r="26" spans="1:6">
      <c r="A26" s="6" t="str">
        <f t="shared" si="0"/>
        <v>GreenOnion_1_1</v>
      </c>
      <c r="B26" s="5" t="s">
        <v>134</v>
      </c>
      <c r="C26" s="5">
        <v>1</v>
      </c>
      <c r="D26" s="5">
        <v>1</v>
      </c>
      <c r="E26" s="5" t="s">
        <v>119</v>
      </c>
      <c r="F26" s="5" t="s">
        <v>112</v>
      </c>
    </row>
    <row r="27" spans="1:6">
      <c r="A27" s="6" t="str">
        <f t="shared" si="0"/>
        <v>GreenOnion_1_2</v>
      </c>
      <c r="B27" s="5" t="s">
        <v>134</v>
      </c>
      <c r="C27" s="5">
        <v>1</v>
      </c>
      <c r="D27" s="5">
        <v>2</v>
      </c>
      <c r="E27" s="5" t="s">
        <v>111</v>
      </c>
      <c r="F27" s="5"/>
    </row>
    <row r="28" spans="1:6">
      <c r="A28" s="6" t="str">
        <f t="shared" si="0"/>
        <v>GreenOnion_2_1</v>
      </c>
      <c r="B28" s="5" t="s">
        <v>134</v>
      </c>
      <c r="C28" s="5">
        <v>2</v>
      </c>
      <c r="D28" s="5">
        <v>1</v>
      </c>
      <c r="E28" s="5" t="s">
        <v>114</v>
      </c>
      <c r="F28" s="5" t="s">
        <v>112</v>
      </c>
    </row>
    <row r="29" spans="1:6">
      <c r="A29" s="6" t="str">
        <f t="shared" si="0"/>
        <v>GreenOnion_2_2</v>
      </c>
      <c r="B29" s="5" t="s">
        <v>134</v>
      </c>
      <c r="C29" s="5">
        <v>2</v>
      </c>
      <c r="D29" s="5">
        <v>2</v>
      </c>
      <c r="E29" s="5" t="s">
        <v>135</v>
      </c>
      <c r="F29" s="5"/>
    </row>
    <row r="30" spans="1:6">
      <c r="A30" s="6" t="str">
        <f t="shared" si="0"/>
        <v>Egg_1_1</v>
      </c>
      <c r="B30" s="5" t="s">
        <v>136</v>
      </c>
      <c r="C30" s="5">
        <v>1</v>
      </c>
      <c r="D30" s="5">
        <v>1</v>
      </c>
      <c r="E30" s="5" t="s">
        <v>137</v>
      </c>
      <c r="F30" s="5" t="s">
        <v>112</v>
      </c>
    </row>
    <row r="31" spans="1:6">
      <c r="A31" s="6" t="str">
        <f t="shared" si="0"/>
        <v>Egg_1_2</v>
      </c>
      <c r="B31" s="5" t="s">
        <v>136</v>
      </c>
      <c r="C31" s="5">
        <v>1</v>
      </c>
      <c r="D31" s="5">
        <v>2</v>
      </c>
      <c r="E31" s="5" t="s">
        <v>111</v>
      </c>
      <c r="F31" s="5"/>
    </row>
    <row r="32" spans="1:6">
      <c r="A32" s="6" t="str">
        <f t="shared" si="0"/>
        <v>Egg_2_1</v>
      </c>
      <c r="B32" s="5" t="s">
        <v>136</v>
      </c>
      <c r="C32" s="5">
        <v>2</v>
      </c>
      <c r="D32" s="5">
        <v>1</v>
      </c>
      <c r="E32" s="5" t="s">
        <v>114</v>
      </c>
      <c r="F32" s="5" t="s">
        <v>112</v>
      </c>
    </row>
    <row r="33" spans="1:6">
      <c r="A33" s="6" t="str">
        <f t="shared" si="0"/>
        <v>Egg_2_2</v>
      </c>
      <c r="B33" s="5" t="s">
        <v>136</v>
      </c>
      <c r="C33" s="5">
        <v>2</v>
      </c>
      <c r="D33" s="5">
        <v>2</v>
      </c>
      <c r="E33" s="5" t="s">
        <v>138</v>
      </c>
      <c r="F33" s="5"/>
    </row>
    <row r="34" spans="1:6">
      <c r="A34" s="6" t="str">
        <f t="shared" ref="A34:A65" si="1">B34&amp;"_"&amp;C34&amp;"_"&amp;D34</f>
        <v>Egg_3_1</v>
      </c>
      <c r="B34" s="5" t="s">
        <v>136</v>
      </c>
      <c r="C34" s="5">
        <v>3</v>
      </c>
      <c r="D34" s="5">
        <v>1</v>
      </c>
      <c r="E34" s="5" t="s">
        <v>131</v>
      </c>
      <c r="F34" s="5" t="s">
        <v>132</v>
      </c>
    </row>
    <row r="35" spans="1:6">
      <c r="A35" s="6" t="str">
        <f t="shared" si="1"/>
        <v>Egg_3_2</v>
      </c>
      <c r="B35" s="5" t="s">
        <v>136</v>
      </c>
      <c r="C35" s="5">
        <v>3</v>
      </c>
      <c r="D35" s="5">
        <v>2</v>
      </c>
      <c r="E35" s="5" t="s">
        <v>139</v>
      </c>
      <c r="F35" s="5"/>
    </row>
    <row r="36" spans="1:6">
      <c r="A36" s="6" t="str">
        <f t="shared" si="1"/>
        <v>BeanSprout_1_1</v>
      </c>
      <c r="B36" s="5" t="s">
        <v>140</v>
      </c>
      <c r="C36" s="5">
        <v>1</v>
      </c>
      <c r="D36" s="5">
        <v>1</v>
      </c>
      <c r="E36" s="5" t="s">
        <v>111</v>
      </c>
      <c r="F36" s="5" t="s">
        <v>112</v>
      </c>
    </row>
    <row r="37" spans="1:6">
      <c r="A37" s="6" t="str">
        <f t="shared" si="1"/>
        <v>BeanSprout_1_2</v>
      </c>
      <c r="B37" s="5" t="s">
        <v>140</v>
      </c>
      <c r="C37" s="5">
        <v>1</v>
      </c>
      <c r="D37" s="5">
        <v>2</v>
      </c>
      <c r="E37" s="5" t="s">
        <v>141</v>
      </c>
      <c r="F37" s="5"/>
    </row>
    <row r="38" spans="1:6">
      <c r="A38" s="6" t="str">
        <f t="shared" si="1"/>
        <v>BeanSprout_2_1</v>
      </c>
      <c r="B38" s="5" t="s">
        <v>140</v>
      </c>
      <c r="C38" s="5">
        <v>2</v>
      </c>
      <c r="D38" s="5">
        <v>1</v>
      </c>
      <c r="E38" s="5" t="s">
        <v>114</v>
      </c>
      <c r="F38" s="5" t="s">
        <v>112</v>
      </c>
    </row>
    <row r="39" spans="1:6">
      <c r="A39" s="6" t="str">
        <f t="shared" si="1"/>
        <v>BeanSprout_2_2</v>
      </c>
      <c r="B39" s="5" t="s">
        <v>140</v>
      </c>
      <c r="C39" s="5">
        <v>2</v>
      </c>
      <c r="D39" s="5">
        <v>2</v>
      </c>
      <c r="E39" s="5" t="s">
        <v>142</v>
      </c>
      <c r="F39" s="5"/>
    </row>
    <row r="40" spans="1:6">
      <c r="A40" s="6" t="str">
        <f t="shared" si="1"/>
        <v>BeanSprout_3_1</v>
      </c>
      <c r="B40" s="5" t="s">
        <v>140</v>
      </c>
      <c r="C40" s="5">
        <v>3</v>
      </c>
      <c r="D40" s="5">
        <v>1</v>
      </c>
      <c r="E40" s="5" t="s">
        <v>131</v>
      </c>
      <c r="F40" s="5" t="s">
        <v>132</v>
      </c>
    </row>
    <row r="41" spans="1:6">
      <c r="A41" s="6" t="str">
        <f t="shared" si="1"/>
        <v>BeanSprout_3_2</v>
      </c>
      <c r="B41" s="5" t="s">
        <v>140</v>
      </c>
      <c r="C41" s="5">
        <v>3</v>
      </c>
      <c r="D41" s="5">
        <v>2</v>
      </c>
      <c r="E41" s="5" t="s">
        <v>143</v>
      </c>
      <c r="F41" s="5"/>
    </row>
    <row r="42" spans="1:6">
      <c r="A42" s="6" t="str">
        <f t="shared" si="1"/>
        <v>WoodEar_1_1</v>
      </c>
      <c r="B42" s="5" t="s">
        <v>144</v>
      </c>
      <c r="C42" s="5">
        <v>1</v>
      </c>
      <c r="D42" s="5">
        <v>1</v>
      </c>
      <c r="E42" s="5" t="s">
        <v>111</v>
      </c>
      <c r="F42" s="5" t="s">
        <v>112</v>
      </c>
    </row>
    <row r="43" spans="1:6">
      <c r="A43" s="6" t="str">
        <f t="shared" si="1"/>
        <v>WoodEar_1_2</v>
      </c>
      <c r="B43" s="5" t="s">
        <v>144</v>
      </c>
      <c r="C43" s="5">
        <v>1</v>
      </c>
      <c r="D43" s="5">
        <v>2</v>
      </c>
      <c r="E43" s="5" t="s">
        <v>145</v>
      </c>
      <c r="F43" s="5"/>
    </row>
    <row r="44" spans="1:6">
      <c r="A44" s="6" t="str">
        <f t="shared" si="1"/>
        <v>WoodEar_2_1</v>
      </c>
      <c r="B44" s="5" t="s">
        <v>144</v>
      </c>
      <c r="C44" s="5">
        <v>2</v>
      </c>
      <c r="D44" s="5">
        <v>1</v>
      </c>
      <c r="E44" s="5" t="s">
        <v>114</v>
      </c>
      <c r="F44" s="5" t="s">
        <v>112</v>
      </c>
    </row>
    <row r="45" spans="1:6">
      <c r="A45" s="6" t="str">
        <f t="shared" si="1"/>
        <v>WoodEar_2_2</v>
      </c>
      <c r="B45" s="5" t="s">
        <v>144</v>
      </c>
      <c r="C45" s="5">
        <v>2</v>
      </c>
      <c r="D45" s="5">
        <v>2</v>
      </c>
      <c r="E45" s="5" t="s">
        <v>130</v>
      </c>
      <c r="F45" s="5"/>
    </row>
    <row r="46" spans="1:6">
      <c r="A46" s="6" t="str">
        <f t="shared" si="1"/>
        <v>WoodEar_3_1</v>
      </c>
      <c r="B46" s="5" t="s">
        <v>144</v>
      </c>
      <c r="C46" s="5">
        <v>3</v>
      </c>
      <c r="D46" s="5">
        <v>1</v>
      </c>
      <c r="E46" s="5" t="s">
        <v>131</v>
      </c>
      <c r="F46" s="5" t="s">
        <v>132</v>
      </c>
    </row>
    <row r="47" spans="1:6">
      <c r="A47" s="6" t="str">
        <f t="shared" si="1"/>
        <v>WoodEar_3_2</v>
      </c>
      <c r="B47" s="5" t="s">
        <v>144</v>
      </c>
      <c r="C47" s="5">
        <v>3</v>
      </c>
      <c r="D47" s="5">
        <v>2</v>
      </c>
      <c r="E47" s="5" t="s">
        <v>146</v>
      </c>
      <c r="F47" s="5"/>
    </row>
    <row r="48" spans="1:6">
      <c r="A48" s="6" t="str">
        <f t="shared" si="1"/>
        <v>Nori_1_1</v>
      </c>
      <c r="B48" s="5" t="s">
        <v>147</v>
      </c>
      <c r="C48" s="5">
        <v>1</v>
      </c>
      <c r="D48" s="5">
        <v>1</v>
      </c>
      <c r="E48" s="5" t="s">
        <v>148</v>
      </c>
      <c r="F48" s="5" t="s">
        <v>112</v>
      </c>
    </row>
    <row r="49" spans="1:6">
      <c r="A49" s="6" t="str">
        <f t="shared" si="1"/>
        <v>Nori_1_2</v>
      </c>
      <c r="B49" s="5" t="s">
        <v>147</v>
      </c>
      <c r="C49" s="5">
        <v>1</v>
      </c>
      <c r="D49" s="5">
        <v>2</v>
      </c>
      <c r="E49" s="5" t="s">
        <v>149</v>
      </c>
      <c r="F49" s="5"/>
    </row>
    <row r="50" spans="1:6">
      <c r="A50" s="6" t="str">
        <f t="shared" si="1"/>
        <v>Nori_2_1</v>
      </c>
      <c r="B50" s="5" t="s">
        <v>147</v>
      </c>
      <c r="C50" s="5">
        <v>2</v>
      </c>
      <c r="D50" s="5">
        <v>1</v>
      </c>
      <c r="E50" s="5" t="s">
        <v>114</v>
      </c>
      <c r="F50" s="5" t="s">
        <v>112</v>
      </c>
    </row>
    <row r="51" spans="1:6">
      <c r="A51" s="6" t="str">
        <f t="shared" si="1"/>
        <v>Nori_2_2</v>
      </c>
      <c r="B51" s="5" t="s">
        <v>147</v>
      </c>
      <c r="C51" s="5">
        <v>2</v>
      </c>
      <c r="D51" s="5">
        <v>2</v>
      </c>
      <c r="E51" s="5" t="s">
        <v>130</v>
      </c>
      <c r="F51" s="5"/>
    </row>
    <row r="52" spans="1:6">
      <c r="A52" s="6" t="str">
        <f t="shared" si="1"/>
        <v>Nori_3_1</v>
      </c>
      <c r="B52" s="5" t="s">
        <v>147</v>
      </c>
      <c r="C52" s="5">
        <v>3</v>
      </c>
      <c r="D52" s="5">
        <v>1</v>
      </c>
      <c r="E52" s="5" t="s">
        <v>150</v>
      </c>
      <c r="F52" s="5" t="s">
        <v>112</v>
      </c>
    </row>
    <row r="53" spans="1:6">
      <c r="A53" s="6" t="str">
        <f t="shared" si="1"/>
        <v>Nori_3_2</v>
      </c>
      <c r="B53" s="5" t="s">
        <v>147</v>
      </c>
      <c r="C53" s="5">
        <v>3</v>
      </c>
      <c r="D53" s="5">
        <v>2</v>
      </c>
      <c r="E53" s="5" t="s">
        <v>114</v>
      </c>
      <c r="F53" s="5"/>
    </row>
    <row r="54" spans="1:6">
      <c r="A54" s="6" t="str">
        <f t="shared" si="1"/>
        <v>Ramen_0_1</v>
      </c>
      <c r="B54" s="5" t="s">
        <v>151</v>
      </c>
      <c r="C54" s="5">
        <v>0</v>
      </c>
      <c r="D54" s="5">
        <v>1</v>
      </c>
      <c r="E54" s="5" t="s">
        <v>152</v>
      </c>
      <c r="F54" s="5" t="s">
        <v>153</v>
      </c>
    </row>
    <row r="55" spans="1:6">
      <c r="A55" s="6" t="str">
        <f t="shared" si="1"/>
        <v>Ramen_0_2</v>
      </c>
      <c r="B55" s="5" t="s">
        <v>151</v>
      </c>
      <c r="C55" s="5">
        <v>0</v>
      </c>
      <c r="D55" s="5">
        <v>2</v>
      </c>
      <c r="E55" s="5" t="s">
        <v>154</v>
      </c>
      <c r="F55" s="5" t="s">
        <v>153</v>
      </c>
    </row>
  </sheetData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8" customWidth="1"/>
    <col min="2" max="2" width="14" customWidth="1"/>
    <col min="3" max="3" width="6" customWidth="1"/>
    <col min="4" max="4" width="16" customWidth="1"/>
    <col min="5" max="5" width="10" customWidth="1"/>
  </cols>
  <sheetData>
    <row r="1" spans="1:5">
      <c r="A1" s="4" t="s">
        <v>104</v>
      </c>
      <c r="B1" s="4" t="s">
        <v>155</v>
      </c>
      <c r="C1" s="4" t="s">
        <v>107</v>
      </c>
      <c r="D1" s="4" t="s">
        <v>156</v>
      </c>
      <c r="E1" s="4" t="s">
        <v>109</v>
      </c>
    </row>
    <row r="2" spans="1:5">
      <c r="A2" s="6" t="str">
        <f t="shared" ref="A2:A21" si="0">B2&amp;"_"&amp;C2</f>
        <v>Chashu_1</v>
      </c>
      <c r="B2" s="5" t="s">
        <v>110</v>
      </c>
      <c r="C2" s="5">
        <v>1</v>
      </c>
      <c r="D2" s="5" t="s">
        <v>157</v>
      </c>
      <c r="E2" s="5"/>
    </row>
    <row r="3" spans="1:5">
      <c r="A3" s="6" t="str">
        <f t="shared" si="0"/>
        <v>Chashu_2</v>
      </c>
      <c r="B3" s="5" t="s">
        <v>110</v>
      </c>
      <c r="C3" s="5">
        <v>2</v>
      </c>
      <c r="D3" s="5" t="s">
        <v>158</v>
      </c>
      <c r="E3" s="5"/>
    </row>
    <row r="4" spans="1:5">
      <c r="A4" s="6" t="str">
        <f t="shared" si="0"/>
        <v>Menma_1</v>
      </c>
      <c r="B4" s="5" t="s">
        <v>128</v>
      </c>
      <c r="C4" s="5">
        <v>1</v>
      </c>
      <c r="D4" s="5" t="s">
        <v>159</v>
      </c>
      <c r="E4" s="5"/>
    </row>
    <row r="5" spans="1:5">
      <c r="A5" s="6" t="str">
        <f t="shared" si="0"/>
        <v>Menma_2</v>
      </c>
      <c r="B5" s="5" t="s">
        <v>128</v>
      </c>
      <c r="C5" s="5">
        <v>2</v>
      </c>
      <c r="D5" s="5" t="s">
        <v>160</v>
      </c>
      <c r="E5" s="5"/>
    </row>
    <row r="6" spans="1:5">
      <c r="A6" s="6" t="str">
        <f t="shared" si="0"/>
        <v>GreenOnion_1</v>
      </c>
      <c r="B6" s="5" t="s">
        <v>134</v>
      </c>
      <c r="C6" s="5">
        <v>1</v>
      </c>
      <c r="D6" s="5" t="s">
        <v>161</v>
      </c>
      <c r="E6" s="5"/>
    </row>
    <row r="7" spans="1:5">
      <c r="A7" s="6" t="str">
        <f t="shared" si="0"/>
        <v>GreenOnion_2</v>
      </c>
      <c r="B7" s="5" t="s">
        <v>134</v>
      </c>
      <c r="C7" s="5">
        <v>2</v>
      </c>
      <c r="D7" s="5" t="s">
        <v>162</v>
      </c>
      <c r="E7" s="5"/>
    </row>
    <row r="8" spans="1:5">
      <c r="A8" s="6" t="str">
        <f t="shared" si="0"/>
        <v>Egg_1</v>
      </c>
      <c r="B8" s="5" t="s">
        <v>136</v>
      </c>
      <c r="C8" s="5">
        <v>1</v>
      </c>
      <c r="D8" s="5" t="s">
        <v>163</v>
      </c>
      <c r="E8" s="5"/>
    </row>
    <row r="9" spans="1:5">
      <c r="A9" s="6" t="str">
        <f t="shared" si="0"/>
        <v>Egg_2</v>
      </c>
      <c r="B9" s="5" t="s">
        <v>136</v>
      </c>
      <c r="C9" s="5">
        <v>2</v>
      </c>
      <c r="D9" s="5" t="s">
        <v>164</v>
      </c>
      <c r="E9" s="5"/>
    </row>
    <row r="10" spans="1:5">
      <c r="A10" s="6" t="str">
        <f t="shared" si="0"/>
        <v>Nori_1</v>
      </c>
      <c r="B10" s="5" t="s">
        <v>147</v>
      </c>
      <c r="C10" s="5">
        <v>1</v>
      </c>
      <c r="D10" s="5" t="s">
        <v>165</v>
      </c>
      <c r="E10" s="5"/>
    </row>
    <row r="11" spans="1:5">
      <c r="A11" s="6" t="str">
        <f t="shared" si="0"/>
        <v>BeanSprout_1</v>
      </c>
      <c r="B11" s="5" t="s">
        <v>140</v>
      </c>
      <c r="C11" s="5">
        <v>1</v>
      </c>
      <c r="D11" s="5" t="s">
        <v>166</v>
      </c>
      <c r="E11" s="5"/>
    </row>
    <row r="12" spans="1:5">
      <c r="A12" s="6" t="str">
        <f t="shared" si="0"/>
        <v>BeanSprout_2</v>
      </c>
      <c r="B12" s="5" t="s">
        <v>140</v>
      </c>
      <c r="C12" s="5">
        <v>2</v>
      </c>
      <c r="D12" s="5" t="s">
        <v>167</v>
      </c>
      <c r="E12" s="5"/>
    </row>
    <row r="13" spans="1:5">
      <c r="A13" s="6" t="str">
        <f t="shared" si="0"/>
        <v>WoodEar_1</v>
      </c>
      <c r="B13" s="5" t="s">
        <v>144</v>
      </c>
      <c r="C13" s="5">
        <v>1</v>
      </c>
      <c r="D13" s="5" t="s">
        <v>168</v>
      </c>
      <c r="E13" s="5"/>
    </row>
    <row r="14" spans="1:5">
      <c r="A14" s="6" t="str">
        <f t="shared" si="0"/>
        <v>WoodEar_2</v>
      </c>
      <c r="B14" s="5" t="s">
        <v>144</v>
      </c>
      <c r="C14" s="5">
        <v>2</v>
      </c>
      <c r="D14" s="5" t="s">
        <v>169</v>
      </c>
      <c r="E14" s="5"/>
    </row>
    <row r="15" spans="1:5">
      <c r="A15" s="6" t="str">
        <f t="shared" si="0"/>
        <v>FlavorOil_1</v>
      </c>
      <c r="B15" s="5" t="s">
        <v>118</v>
      </c>
      <c r="C15" s="5">
        <v>1</v>
      </c>
      <c r="D15" s="5" t="s">
        <v>170</v>
      </c>
      <c r="E15" s="5"/>
    </row>
    <row r="16" spans="1:5">
      <c r="A16" s="6" t="str">
        <f t="shared" si="0"/>
        <v>FlavorOil_2</v>
      </c>
      <c r="B16" s="5" t="s">
        <v>118</v>
      </c>
      <c r="C16" s="5">
        <v>2</v>
      </c>
      <c r="D16" s="5" t="s">
        <v>171</v>
      </c>
      <c r="E16" s="5"/>
    </row>
    <row r="17" spans="1:5">
      <c r="A17" s="6" t="str">
        <f t="shared" si="0"/>
        <v>ChiliPowder_1</v>
      </c>
      <c r="B17" s="5" t="s">
        <v>123</v>
      </c>
      <c r="C17" s="5">
        <v>1</v>
      </c>
      <c r="D17" s="5" t="s">
        <v>172</v>
      </c>
      <c r="E17" s="5"/>
    </row>
    <row r="18" spans="1:5">
      <c r="A18" s="6" t="str">
        <f t="shared" si="0"/>
        <v>ChiliPowder_2</v>
      </c>
      <c r="B18" s="5" t="s">
        <v>123</v>
      </c>
      <c r="C18" s="5">
        <v>2</v>
      </c>
      <c r="D18" s="5" t="s">
        <v>173</v>
      </c>
      <c r="E18" s="5"/>
    </row>
    <row r="19" spans="1:5">
      <c r="A19" s="6" t="str">
        <f t="shared" si="0"/>
        <v>Shio_1</v>
      </c>
      <c r="B19" s="5" t="s">
        <v>174</v>
      </c>
      <c r="C19" s="5">
        <v>1</v>
      </c>
      <c r="D19" s="5" t="s">
        <v>175</v>
      </c>
      <c r="E19" s="5" t="s">
        <v>176</v>
      </c>
    </row>
    <row r="20" spans="1:5">
      <c r="A20" s="6" t="str">
        <f t="shared" si="0"/>
        <v>Shoyu_1</v>
      </c>
      <c r="B20" s="5" t="s">
        <v>177</v>
      </c>
      <c r="C20" s="5">
        <v>1</v>
      </c>
      <c r="D20" s="5" t="s">
        <v>178</v>
      </c>
      <c r="E20" s="5" t="s">
        <v>176</v>
      </c>
    </row>
    <row r="21" spans="1:5">
      <c r="A21" s="6" t="str">
        <f t="shared" si="0"/>
        <v>Tonkotsu_1</v>
      </c>
      <c r="B21" s="5" t="s">
        <v>179</v>
      </c>
      <c r="C21" s="5">
        <v>1</v>
      </c>
      <c r="D21" s="5" t="s">
        <v>180</v>
      </c>
      <c r="E21" s="5" t="s">
        <v>176</v>
      </c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"/>
  <sheetViews>
    <sheetView workbookViewId="0"/>
  </sheetViews>
  <sheetFormatPr defaultRowHeight="16.5"/>
  <cols>
    <col min="1" max="1" width="26" customWidth="1"/>
    <col min="2" max="2" width="64" customWidth="1"/>
  </cols>
  <sheetData>
    <row r="1" spans="1:2" ht="17.25">
      <c r="A1" s="1" t="s">
        <v>181</v>
      </c>
    </row>
    <row r="3" spans="1:2">
      <c r="A3" s="7" t="s">
        <v>182</v>
      </c>
      <c r="B3" s="8" t="s">
        <v>55</v>
      </c>
    </row>
    <row r="4" spans="1:2">
      <c r="A4" s="7" t="s">
        <v>183</v>
      </c>
      <c r="B4" s="8" t="s">
        <v>177</v>
      </c>
    </row>
    <row r="5" spans="1:2">
      <c r="A5" s="7" t="s">
        <v>184</v>
      </c>
      <c r="B5" s="8">
        <v>1</v>
      </c>
    </row>
    <row r="6" spans="1:2">
      <c r="A6" s="7" t="s">
        <v>185</v>
      </c>
      <c r="B6" s="8" t="s">
        <v>110</v>
      </c>
    </row>
    <row r="7" spans="1:2">
      <c r="A7" s="7" t="s">
        <v>186</v>
      </c>
      <c r="B7" s="8">
        <v>3</v>
      </c>
    </row>
    <row r="8" spans="1:2">
      <c r="A8" s="7" t="s">
        <v>187</v>
      </c>
      <c r="B8" s="8">
        <v>1</v>
      </c>
    </row>
    <row r="9" spans="1:2">
      <c r="A9" s="7" t="s">
        <v>188</v>
      </c>
      <c r="B9" s="8">
        <v>1</v>
      </c>
    </row>
    <row r="12" spans="1:2">
      <c r="A12" s="9" t="s">
        <v>189</v>
      </c>
    </row>
    <row r="13" spans="1:2">
      <c r="A13" s="7" t="s">
        <v>190</v>
      </c>
      <c r="B13" s="10" t="str">
        <f>INDEX(Persona!$J$2:$J$8,MATCH($B$3,Persona!$A$2:$A$8,0))</f>
        <v>사장님예,</v>
      </c>
    </row>
    <row r="14" spans="1:2">
      <c r="A14" s="7" t="s">
        <v>191</v>
      </c>
      <c r="B14" s="10" t="str">
        <f>INDEX(Template!$E$2:$E$55,MATCH("Ramen_0_"&amp;$B$5,Template!$A$2:$A$55,0))</f>
        <v>{ramen} {order}.</v>
      </c>
    </row>
    <row r="15" spans="1:2">
      <c r="A15" s="7" t="s">
        <v>192</v>
      </c>
      <c r="B15" s="10" t="str">
        <f>INDEX(Keyword!$D$2:$D$21,MATCH($B$4&amp;"_1",Keyword!$A$2:$A$21,0))</f>
        <v>쇼유 라멘</v>
      </c>
    </row>
    <row r="16" spans="1:2">
      <c r="A16" s="7" t="s">
        <v>193</v>
      </c>
      <c r="B16" s="10" t="str">
        <f>INDEX(Template!$E$2:$E$55,MATCH($B$6&amp;"_"&amp;$B$7&amp;"_"&amp;$B$8,Template!$A$2:$A$55,0))</f>
        <v>고기 향을 {amt} 느끼고 {want}.</v>
      </c>
    </row>
    <row r="17" spans="1:2">
      <c r="A17" s="7" t="s">
        <v>194</v>
      </c>
      <c r="B17" s="10" t="str">
        <f>IFERROR(INDEX(Keyword!$D$2:$D$21,MATCH($B$6&amp;"_"&amp;$B$9,Keyword!$A$2:$A$21,0)),INDEX(Keyword!$D$2:$D$21,MATCH($B$6&amp;"_1",Keyword!$A$2:$A$21,0)))</f>
        <v>차슈</v>
      </c>
    </row>
    <row r="18" spans="1:2">
      <c r="A18" s="7" t="s">
        <v>195</v>
      </c>
      <c r="B18" s="10" t="str">
        <f>CHOOSE($B$7,INDEX(Persona!$C$2:$C$8,MATCH($B$3,Persona!$A$2:$A$8,0)),INDEX(Persona!$D$2:$D$8,MATCH($B$3,Persona!$A$2:$A$8,0)),INDEX(Persona!$E$2:$E$8,MATCH($B$3,Persona!$A$2:$A$8,0)))</f>
        <v>억수로</v>
      </c>
    </row>
    <row r="19" spans="1:2">
      <c r="A19" s="7" t="s">
        <v>196</v>
      </c>
      <c r="B19" s="10" t="str">
        <f>INDEX(Persona!$F$2:$F$8,MATCH($B$3,Persona!$A$2:$A$8,0))&amp;" / "&amp;INDEX(Persona!$G$2:$G$8,MATCH($B$3,Persona!$A$2:$A$8,0))&amp;" / "&amp;INDEX(Persona!$H$2:$H$8,MATCH($B$3,Persona!$A$2:$A$8,0))&amp;" / "&amp;INDEX(Persona!$I$2:$I$8,MATCH($B$3,Persona!$A$2:$A$8,0))</f>
        <v>넣어주이소 / 해주이소 / 싶은데예 / 하나 주이소</v>
      </c>
    </row>
    <row r="22" spans="1:2" ht="17.25">
      <c r="A22" s="1" t="s">
        <v>197</v>
      </c>
    </row>
    <row r="23" spans="1:2">
      <c r="A23" s="7" t="s">
        <v>198</v>
      </c>
      <c r="B23" s="10" t="str">
        <f>SUBSTITUTE(SUBSTITUTE(SUBSTITUTE(SUBSTITUTE(SUBSTITUTE(SUBSTITUTE(SUBSTITUTE($B$14,"{ramen}",$B$15),"{ing}",$B$17),"{amt}",$B$18),"{give}",INDEX(Persona!$F$2:$F$8,MATCH($B$3,Persona!$A$2:$A$8,0))),"{make}",INDEX(Persona!$G$2:$G$8,MATCH($B$3,Persona!$A$2:$A$8,0))),"{want}",INDEX(Persona!$H$2:$H$8,MATCH($B$3,Persona!$A$2:$A$8,0))),"{order}",INDEX(Persona!$I$2:$I$8,MATCH($B$3,Persona!$A$2:$A$8,0)))</f>
        <v>쇼유 라멘 하나 주이소.</v>
      </c>
    </row>
    <row r="24" spans="1:2">
      <c r="A24" s="7" t="s">
        <v>199</v>
      </c>
      <c r="B24" s="10" t="str">
        <f>SUBSTITUTE(SUBSTITUTE(SUBSTITUTE(SUBSTITUTE(SUBSTITUTE(SUBSTITUTE(SUBSTITUTE($B$16,"{ramen}",$B$15),"{ing}",$B$17),"{amt}",$B$18),"{give}",INDEX(Persona!$F$2:$F$8,MATCH($B$3,Persona!$A$2:$A$8,0))),"{make}",INDEX(Persona!$G$2:$G$8,MATCH($B$3,Persona!$A$2:$A$8,0))),"{want}",INDEX(Persona!$H$2:$H$8,MATCH($B$3,Persona!$A$2:$A$8,0))),"{order}",INDEX(Persona!$I$2:$I$8,MATCH($B$3,Persona!$A$2:$A$8,0)))</f>
        <v>고기 향을 억수로 느끼고 싶은데예.</v>
      </c>
    </row>
    <row r="25" spans="1:2" ht="44.1" customHeight="1">
      <c r="A25" s="9" t="s">
        <v>200</v>
      </c>
      <c r="B25" s="11" t="str">
        <f>$B$13&amp;" "&amp;$B$23&amp;CHAR(10)&amp;$B$24</f>
        <v>사장님예, 쇼유 라멘 하나 주이소.
고기 향을 억수로 느끼고 싶은데예.</v>
      </c>
    </row>
  </sheetData>
  <phoneticPr fontId="8" type="noConversion"/>
  <dataValidations count="4">
    <dataValidation type="list" sqref="B4" xr:uid="{00000000-0002-0000-0400-000001000000}">
      <formula1>"Shio,Shoyu,Tonkotsu"</formula1>
    </dataValidation>
    <dataValidation type="list" sqref="B5 B8:B9" xr:uid="{00000000-0002-0000-0400-000002000000}">
      <formula1>"1,2"</formula1>
    </dataValidation>
    <dataValidation type="list" sqref="B6" xr:uid="{00000000-0002-0000-0400-000003000000}">
      <formula1>"Chashu,FlavorOil,ChiliPowder,Menma,GreenOnion,Egg,BeanSprout,WoodEar,Nori"</formula1>
    </dataValidation>
    <dataValidation type="list" sqref="B7" xr:uid="{00000000-0002-0000-0400-000004000000}">
      <formula1>"1,2,3"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Persona!$A$2:$A$8</xm:f>
          </x14:formula1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README</vt:lpstr>
      <vt:lpstr>Persona</vt:lpstr>
      <vt:lpstr>Template</vt:lpstr>
      <vt:lpstr>Keyword</vt:lpstr>
      <vt:lpstr>Preview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403-29</cp:lastModifiedBy>
  <dcterms:created xsi:type="dcterms:W3CDTF">2026-09-07T06:24:42Z</dcterms:created>
  <dcterms:modified xsi:type="dcterms:W3CDTF">2026-09-07T06:25:19Z</dcterms:modified>
</cp:coreProperties>
</file>